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349235-39E2-4F62-89B4-3F6E61BE2143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CVS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1" l="1"/>
  <c r="N16" i="1"/>
  <c r="L16" i="1"/>
  <c r="M16" i="1" s="1"/>
  <c r="O16" i="1" s="1"/>
  <c r="P16" i="1" s="1"/>
  <c r="Q16" i="1" s="1"/>
  <c r="N15" i="1"/>
  <c r="L15" i="1"/>
  <c r="M15" i="1" s="1"/>
  <c r="O15" i="1" s="1"/>
  <c r="P15" i="1" s="1"/>
  <c r="Q15" i="1" s="1"/>
  <c r="N14" i="1"/>
  <c r="L14" i="1"/>
  <c r="M14" i="1" s="1"/>
  <c r="O14" i="1" s="1"/>
  <c r="P14" i="1" s="1"/>
  <c r="Q14" i="1" s="1"/>
  <c r="N13" i="1"/>
  <c r="L13" i="1"/>
  <c r="M13" i="1" s="1"/>
  <c r="O13" i="1" s="1"/>
  <c r="P13" i="1" s="1"/>
  <c r="Q13" i="1" s="1"/>
  <c r="N12" i="1"/>
  <c r="L12" i="1"/>
  <c r="M12" i="1" s="1"/>
  <c r="N11" i="1"/>
  <c r="L11" i="1"/>
  <c r="M11" i="1" s="1"/>
  <c r="O11" i="1" s="1"/>
  <c r="P11" i="1" s="1"/>
  <c r="Q11" i="1" s="1"/>
  <c r="N10" i="1"/>
  <c r="L10" i="1"/>
  <c r="M10" i="1" s="1"/>
  <c r="O10" i="1" s="1"/>
  <c r="P10" i="1" s="1"/>
  <c r="Q10" i="1" s="1"/>
  <c r="N9" i="1"/>
  <c r="L9" i="1"/>
  <c r="M9" i="1" s="1"/>
  <c r="O9" i="1" s="1"/>
  <c r="P9" i="1" s="1"/>
  <c r="Q9" i="1" s="1"/>
  <c r="N8" i="1"/>
  <c r="L8" i="1"/>
  <c r="M8" i="1" s="1"/>
  <c r="N7" i="1"/>
  <c r="L7" i="1"/>
  <c r="M7" i="1" s="1"/>
  <c r="O7" i="1" s="1"/>
  <c r="P7" i="1" s="1"/>
  <c r="Q7" i="1" s="1"/>
  <c r="N6" i="1"/>
  <c r="L6" i="1"/>
  <c r="M6" i="1" s="1"/>
  <c r="O6" i="1" s="1"/>
  <c r="P6" i="1" s="1"/>
  <c r="Q6" i="1" s="1"/>
  <c r="N5" i="1"/>
  <c r="L5" i="1"/>
  <c r="M5" i="1" s="1"/>
  <c r="O5" i="1" s="1"/>
  <c r="P5" i="1" s="1"/>
  <c r="Q5" i="1" s="1"/>
  <c r="N4" i="1"/>
  <c r="L4" i="1"/>
  <c r="M4" i="1" s="1"/>
  <c r="L3" i="1"/>
  <c r="M3" i="1" s="1"/>
  <c r="O3" i="1" s="1"/>
  <c r="P3" i="1" s="1"/>
  <c r="Q3" i="1" s="1"/>
  <c r="O4" i="1" l="1"/>
  <c r="P4" i="1" s="1"/>
  <c r="Q4" i="1" s="1"/>
  <c r="O8" i="1"/>
  <c r="P8" i="1" s="1"/>
  <c r="Q8" i="1" s="1"/>
  <c r="O12" i="1"/>
  <c r="P12" i="1" s="1"/>
  <c r="Q12" i="1" s="1"/>
</calcChain>
</file>

<file path=xl/sharedStrings.xml><?xml version="1.0" encoding="utf-8"?>
<sst xmlns="http://schemas.openxmlformats.org/spreadsheetml/2006/main" count="124" uniqueCount="82">
  <si>
    <t>ID</t>
  </si>
  <si>
    <t>Vulnerabilidad</t>
  </si>
  <si>
    <t>Vector</t>
  </si>
  <si>
    <t>S</t>
  </si>
  <si>
    <t>AV</t>
  </si>
  <si>
    <t>AC</t>
  </si>
  <si>
    <t>PR</t>
  </si>
  <si>
    <t>UI</t>
  </si>
  <si>
    <t>C</t>
  </si>
  <si>
    <t>I</t>
  </si>
  <si>
    <t>A</t>
  </si>
  <si>
    <t>ISS</t>
  </si>
  <si>
    <t>Impacto</t>
  </si>
  <si>
    <t>Explotabilidad</t>
  </si>
  <si>
    <t>Puntuación base</t>
  </si>
  <si>
    <t>Puntaje (redondeado)</t>
  </si>
  <si>
    <t>Gravedad</t>
  </si>
  <si>
    <t>V-01</t>
  </si>
  <si>
    <t>Veeam Backup &amp; Replication (CVE-2024-40711)</t>
  </si>
  <si>
    <t>AV:N/AC:L/PR:N/UI:N/S:U/C:H/I:H/A:H</t>
  </si>
  <si>
    <t>U</t>
  </si>
  <si>
    <t>V-02</t>
  </si>
  <si>
    <t>Apache Log4j – Log4Shell (CVE-2021-44228)</t>
  </si>
  <si>
    <t>AV:N/AC:L/PR:N/UI:N/S:C/C:H/I:H/A:H</t>
  </si>
  <si>
    <t>V-03</t>
  </si>
  <si>
    <t>Netlogon – Zerologon (CVE-2020-1472)</t>
  </si>
  <si>
    <t>V-04</t>
  </si>
  <si>
    <t>Microsoft Outlook – MonikerLink (CVE-2024-21413)</t>
  </si>
  <si>
    <t>V-05</t>
  </si>
  <si>
    <t>Procesadores – Spectre v2 (CVE-2017-5715)</t>
  </si>
  <si>
    <t>AV:L/AC:H/PR:L/UI:N/S:C/C:H/I:N/A:N</t>
  </si>
  <si>
    <t>V-06</t>
  </si>
  <si>
    <t>Firewall FortiGate (CVE-2024-21762)</t>
  </si>
  <si>
    <t>V-07</t>
  </si>
  <si>
    <t>VMware ESXi con AD (CVE-2024-37085)</t>
  </si>
  <si>
    <t>AV:N/AC:L/PR:H/UI:N/S:U/C:H/I:H/A:H</t>
  </si>
  <si>
    <t>V-08</t>
  </si>
  <si>
    <t>BMC AMI MegaRAC SPx (CVE-2024-54085)</t>
  </si>
  <si>
    <t>V-09</t>
  </si>
  <si>
    <t>UPS APC Smart-UPS (CVE-2022-22805)</t>
  </si>
  <si>
    <t>V-10</t>
  </si>
  <si>
    <t>Cámaras Hikvision (CVE-2021-36260)</t>
  </si>
  <si>
    <t>V-11</t>
  </si>
  <si>
    <t>Protección insuficiente de datos (estimado)</t>
  </si>
  <si>
    <t>AV:N/AC:L/PR:L/UI:N/S:U/C:H/I:H/A:N</t>
  </si>
  <si>
    <t>V-12</t>
  </si>
  <si>
    <t>Prácticas inseguras del personal (estimado)</t>
  </si>
  <si>
    <t>AV:N/AC:L/PR:N/UI:R/S:U/C:H/I:H/A:H</t>
  </si>
  <si>
    <t>V-13</t>
  </si>
  <si>
    <t>Control débil del ingreso físico (estimado)</t>
  </si>
  <si>
    <t>AV:P/AC:L/PR:N/UI:N/S:C/C:H/I:H/A:H</t>
  </si>
  <si>
    <t>V-14</t>
  </si>
  <si>
    <t>Dependencia de energía y climatización (estimado)</t>
  </si>
  <si>
    <t>AV:P/AC:L/PR:N/UI:N/S:C/C:N/I:L/A:H</t>
  </si>
  <si>
    <t>De dónde salen los números de cada letra (tabla oficial de FIRST)</t>
  </si>
  <si>
    <t>Métrica</t>
  </si>
  <si>
    <t>Letra</t>
  </si>
  <si>
    <t>Significado</t>
  </si>
  <si>
    <t>Valor</t>
  </si>
  <si>
    <t>N</t>
  </si>
  <si>
    <t>Desde la red o internet</t>
  </si>
  <si>
    <t>Desde la misma red local</t>
  </si>
  <si>
    <t>L</t>
  </si>
  <si>
    <t>Ya dentro del equipo</t>
  </si>
  <si>
    <t>P</t>
  </si>
  <si>
    <t>Tocando físicamente el equipo</t>
  </si>
  <si>
    <t>Ataque fácil</t>
  </si>
  <si>
    <t>H</t>
  </si>
  <si>
    <t>Ataque difícil</t>
  </si>
  <si>
    <t>No necesita cuenta</t>
  </si>
  <si>
    <t>Cuenta normal (0.68 si S = C)</t>
  </si>
  <si>
    <t>Cuenta de administrador (0.50 si S = C)</t>
  </si>
  <si>
    <t>No necesita que la víctima haga nada</t>
  </si>
  <si>
    <t>R</t>
  </si>
  <si>
    <t>Necesita que la víctima haga algo</t>
  </si>
  <si>
    <t>C, I, A</t>
  </si>
  <si>
    <t>Impacto alto</t>
  </si>
  <si>
    <t>Impacto bajo</t>
  </si>
  <si>
    <t>Sin impacto</t>
  </si>
  <si>
    <t>U / C</t>
  </si>
  <si>
    <t>U = el daño se queda en el sistema atacado; C = pasa a otros sistemas (cambia la fórmula del impacto)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</si>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</sst>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5"/>
  <sheetViews>
    <sheetView tabSelected="1" topLeftCell="G1" zoomScaleNormal="100" workbookViewId="0">
      <selection activeCell="P3" sqref="P3"/>
    </sheetView>
  </sheetViews>
  <sheetFormatPr baseColWidth="10" defaultColWidth="8.6640625" defaultRowHeight="14.4" x14ac:dyDescent="0.3"/>
  <cols>
    <col min="1" max="1" width="7" customWidth="1"/>
    <col min="2" max="2" width="44" customWidth="1"/>
    <col min="3" max="3" width="38" customWidth="1"/>
    <col min="4" max="4" width="5" customWidth="1"/>
    <col min="5" max="11" width="6" customWidth="1"/>
    <col min="12" max="12" width="8" customWidth="1"/>
    <col min="13" max="13" width="9" customWidth="1"/>
    <col min="14" max="14" width="13" customWidth="1"/>
    <col min="15" max="15" width="12" customWidth="1"/>
    <col min="16" max="16" width="12" style="9" customWidth="1"/>
    <col min="17" max="17" width="10" customWidth="1"/>
  </cols>
  <sheetData>
    <row r="2" spans="1:17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7" t="s">
        <v>15</v>
      </c>
      <c r="Q2" s="1" t="s">
        <v>16</v>
      </c>
    </row>
    <row r="3" spans="1:17" ht="27.75" customHeight="1" x14ac:dyDescent="0.3">
      <c r="A3" s="2" t="s">
        <v>17</v>
      </c>
      <c r="B3" s="3" t="s">
        <v>18</v>
      </c>
      <c r="C3" s="3" t="s">
        <v>19</v>
      </c>
      <c r="D3" s="2" t="s">
        <v>20</v>
      </c>
      <c r="E3" s="4">
        <v>0.85</v>
      </c>
      <c r="F3" s="4">
        <v>0.77</v>
      </c>
      <c r="G3" s="4">
        <v>0.85</v>
      </c>
      <c r="H3" s="4">
        <v>0.85</v>
      </c>
      <c r="I3" s="4">
        <v>0.56000000000000005</v>
      </c>
      <c r="J3" s="4">
        <v>0.56000000000000005</v>
      </c>
      <c r="K3" s="4">
        <v>0.56000000000000005</v>
      </c>
      <c r="L3" s="5">
        <f t="shared" ref="L3:L16" si="0">1-((1-I3)*(1-J3)*(1-K3))</f>
        <v>0.91481600000000007</v>
      </c>
      <c r="M3" s="5">
        <f t="shared" ref="M3:M16" si="1">IF(D3="U",6.42*L3,7.52*(L3-0.029)-3.25*(L3-0.02)^15)</f>
        <v>5.8731187200000008</v>
      </c>
      <c r="N3" s="5">
        <f>8.22*E3*F3*G3*H3</f>
        <v>3.8870427750000003</v>
      </c>
      <c r="O3" s="5">
        <f t="shared" ref="O3:O16" si="2">IF(M3&lt;=0,0,IF(D3="U",MIN(M3+N3,10),MIN(1.08*(M3+N3),10)))</f>
        <v>9.760161495000002</v>
      </c>
      <c r="P3" s="8">
        <f t="shared" ref="P3:P16" si="3">ROUNDUP(O3,1)</f>
        <v>9.7999999999999989</v>
      </c>
      <c r="Q3" s="5" t="str">
        <f t="shared" ref="Q3:Q16" si="4">IF(P3=0,"Ninguna",IF(P3&lt;4,"Baja",IF(P3&lt;7,"Media",IF(P3&lt;9,"Alta","Crítica"))))</f>
        <v>Crítica</v>
      </c>
    </row>
    <row r="4" spans="1:17" ht="27.75" customHeight="1" x14ac:dyDescent="0.3">
      <c r="A4" s="2" t="s">
        <v>21</v>
      </c>
      <c r="B4" s="3" t="s">
        <v>22</v>
      </c>
      <c r="C4" s="3" t="s">
        <v>23</v>
      </c>
      <c r="D4" s="2" t="s">
        <v>8</v>
      </c>
      <c r="E4" s="4">
        <v>0.85</v>
      </c>
      <c r="F4" s="4">
        <v>0.77</v>
      </c>
      <c r="G4" s="4">
        <v>0.85</v>
      </c>
      <c r="H4" s="4">
        <v>0.85</v>
      </c>
      <c r="I4" s="4">
        <v>0.56000000000000005</v>
      </c>
      <c r="J4" s="4">
        <v>0.56000000000000005</v>
      </c>
      <c r="K4" s="4">
        <v>0.56000000000000005</v>
      </c>
      <c r="L4" s="5">
        <f t="shared" si="0"/>
        <v>0.91481600000000007</v>
      </c>
      <c r="M4" s="5">
        <f t="shared" si="1"/>
        <v>6.0477304915445185</v>
      </c>
      <c r="N4" s="5">
        <f t="shared" ref="N3:N16" si="5">8.22*E4*F4*G4*H4</f>
        <v>3.8870427750000003</v>
      </c>
      <c r="O4" s="5">
        <f t="shared" si="2"/>
        <v>10</v>
      </c>
      <c r="P4" s="8">
        <f t="shared" si="3"/>
        <v>10</v>
      </c>
      <c r="Q4" s="5" t="str">
        <f t="shared" si="4"/>
        <v>Crítica</v>
      </c>
    </row>
    <row r="5" spans="1:17" ht="27.75" customHeight="1" x14ac:dyDescent="0.3">
      <c r="A5" s="2" t="s">
        <v>24</v>
      </c>
      <c r="B5" s="3" t="s">
        <v>25</v>
      </c>
      <c r="C5" s="3" t="s">
        <v>23</v>
      </c>
      <c r="D5" s="2" t="s">
        <v>8</v>
      </c>
      <c r="E5" s="4">
        <v>0.85</v>
      </c>
      <c r="F5" s="4">
        <v>0.77</v>
      </c>
      <c r="G5" s="4">
        <v>0.85</v>
      </c>
      <c r="H5" s="4">
        <v>0.85</v>
      </c>
      <c r="I5" s="4">
        <v>0.56000000000000005</v>
      </c>
      <c r="J5" s="4">
        <v>0.56000000000000005</v>
      </c>
      <c r="K5" s="4">
        <v>0.56000000000000005</v>
      </c>
      <c r="L5" s="5">
        <f t="shared" si="0"/>
        <v>0.91481600000000007</v>
      </c>
      <c r="M5" s="5">
        <f t="shared" si="1"/>
        <v>6.0477304915445185</v>
      </c>
      <c r="N5" s="5">
        <f t="shared" si="5"/>
        <v>3.8870427750000003</v>
      </c>
      <c r="O5" s="5">
        <f t="shared" si="2"/>
        <v>10</v>
      </c>
      <c r="P5" s="8">
        <f t="shared" si="3"/>
        <v>10</v>
      </c>
      <c r="Q5" s="5" t="str">
        <f t="shared" si="4"/>
        <v>Crítica</v>
      </c>
    </row>
    <row r="6" spans="1:17" ht="27.75" customHeight="1" x14ac:dyDescent="0.3">
      <c r="A6" s="2" t="s">
        <v>26</v>
      </c>
      <c r="B6" s="3" t="s">
        <v>27</v>
      </c>
      <c r="C6" s="3" t="s">
        <v>19</v>
      </c>
      <c r="D6" s="2" t="s">
        <v>20</v>
      </c>
      <c r="E6" s="4">
        <v>0.85</v>
      </c>
      <c r="F6" s="4">
        <v>0.77</v>
      </c>
      <c r="G6" s="4">
        <v>0.85</v>
      </c>
      <c r="H6" s="4">
        <v>0.85</v>
      </c>
      <c r="I6" s="4">
        <v>0.56000000000000005</v>
      </c>
      <c r="J6" s="4">
        <v>0.56000000000000005</v>
      </c>
      <c r="K6" s="4">
        <v>0.56000000000000005</v>
      </c>
      <c r="L6" s="5">
        <f t="shared" si="0"/>
        <v>0.91481600000000007</v>
      </c>
      <c r="M6" s="5">
        <f t="shared" si="1"/>
        <v>5.8731187200000008</v>
      </c>
      <c r="N6" s="5">
        <f t="shared" si="5"/>
        <v>3.8870427750000003</v>
      </c>
      <c r="O6" s="5">
        <f t="shared" si="2"/>
        <v>9.760161495000002</v>
      </c>
      <c r="P6" s="8">
        <f t="shared" si="3"/>
        <v>9.7999999999999989</v>
      </c>
      <c r="Q6" s="5" t="str">
        <f t="shared" si="4"/>
        <v>Crítica</v>
      </c>
    </row>
    <row r="7" spans="1:17" ht="27.75" customHeight="1" x14ac:dyDescent="0.3">
      <c r="A7" s="2" t="s">
        <v>28</v>
      </c>
      <c r="B7" s="3" t="s">
        <v>29</v>
      </c>
      <c r="C7" s="3" t="s">
        <v>30</v>
      </c>
      <c r="D7" s="2" t="s">
        <v>8</v>
      </c>
      <c r="E7" s="4">
        <v>0.55000000000000004</v>
      </c>
      <c r="F7" s="4">
        <v>0.44</v>
      </c>
      <c r="G7" s="4">
        <v>0.68</v>
      </c>
      <c r="H7" s="4">
        <v>0.85</v>
      </c>
      <c r="I7" s="4">
        <v>0.56000000000000005</v>
      </c>
      <c r="J7" s="4">
        <v>0</v>
      </c>
      <c r="K7" s="4">
        <v>0</v>
      </c>
      <c r="L7" s="5">
        <f t="shared" si="0"/>
        <v>0.56000000000000005</v>
      </c>
      <c r="M7" s="5">
        <f t="shared" si="1"/>
        <v>3.9928053775140029</v>
      </c>
      <c r="N7" s="5">
        <f t="shared" si="5"/>
        <v>1.1497807200000003</v>
      </c>
      <c r="O7" s="5">
        <f t="shared" si="2"/>
        <v>5.5539929853151246</v>
      </c>
      <c r="P7" s="8">
        <f t="shared" si="3"/>
        <v>5.6</v>
      </c>
      <c r="Q7" s="5" t="str">
        <f t="shared" si="4"/>
        <v>Media</v>
      </c>
    </row>
    <row r="8" spans="1:17" ht="27.75" customHeight="1" x14ac:dyDescent="0.3">
      <c r="A8" s="2" t="s">
        <v>31</v>
      </c>
      <c r="B8" s="3" t="s">
        <v>32</v>
      </c>
      <c r="C8" s="3" t="s">
        <v>19</v>
      </c>
      <c r="D8" s="2" t="s">
        <v>20</v>
      </c>
      <c r="E8" s="4">
        <v>0.85</v>
      </c>
      <c r="F8" s="4">
        <v>0.77</v>
      </c>
      <c r="G8" s="4">
        <v>0.85</v>
      </c>
      <c r="H8" s="4">
        <v>0.85</v>
      </c>
      <c r="I8" s="4">
        <v>0.56000000000000005</v>
      </c>
      <c r="J8" s="4">
        <v>0.56000000000000005</v>
      </c>
      <c r="K8" s="4">
        <v>0.56000000000000005</v>
      </c>
      <c r="L8" s="5">
        <f t="shared" si="0"/>
        <v>0.91481600000000007</v>
      </c>
      <c r="M8" s="5">
        <f t="shared" si="1"/>
        <v>5.8731187200000008</v>
      </c>
      <c r="N8" s="5">
        <f t="shared" si="5"/>
        <v>3.8870427750000003</v>
      </c>
      <c r="O8" s="5">
        <f t="shared" si="2"/>
        <v>9.760161495000002</v>
      </c>
      <c r="P8" s="8">
        <f t="shared" si="3"/>
        <v>9.7999999999999989</v>
      </c>
      <c r="Q8" s="5" t="str">
        <f t="shared" si="4"/>
        <v>Crítica</v>
      </c>
    </row>
    <row r="9" spans="1:17" ht="27.75" customHeight="1" x14ac:dyDescent="0.3">
      <c r="A9" s="2" t="s">
        <v>33</v>
      </c>
      <c r="B9" s="3" t="s">
        <v>34</v>
      </c>
      <c r="C9" s="3" t="s">
        <v>35</v>
      </c>
      <c r="D9" s="2" t="s">
        <v>20</v>
      </c>
      <c r="E9" s="4">
        <v>0.85</v>
      </c>
      <c r="F9" s="4">
        <v>0.77</v>
      </c>
      <c r="G9" s="4">
        <v>0.27</v>
      </c>
      <c r="H9" s="4">
        <v>0.85</v>
      </c>
      <c r="I9" s="4">
        <v>0.56000000000000005</v>
      </c>
      <c r="J9" s="4">
        <v>0.56000000000000005</v>
      </c>
      <c r="K9" s="4">
        <v>0.56000000000000005</v>
      </c>
      <c r="L9" s="5">
        <f t="shared" si="0"/>
        <v>0.91481600000000007</v>
      </c>
      <c r="M9" s="5">
        <f t="shared" si="1"/>
        <v>5.8731187200000008</v>
      </c>
      <c r="N9" s="5">
        <f t="shared" si="5"/>
        <v>1.2347077050000002</v>
      </c>
      <c r="O9" s="5">
        <f t="shared" si="2"/>
        <v>7.1078264250000007</v>
      </c>
      <c r="P9" s="8">
        <f t="shared" si="3"/>
        <v>7.1999999999999993</v>
      </c>
      <c r="Q9" s="5" t="str">
        <f t="shared" si="4"/>
        <v>Alta</v>
      </c>
    </row>
    <row r="10" spans="1:17" ht="27.75" customHeight="1" x14ac:dyDescent="0.3">
      <c r="A10" s="2" t="s">
        <v>36</v>
      </c>
      <c r="B10" s="3" t="s">
        <v>37</v>
      </c>
      <c r="C10" s="3" t="s">
        <v>23</v>
      </c>
      <c r="D10" s="2" t="s">
        <v>8</v>
      </c>
      <c r="E10" s="4">
        <v>0.85</v>
      </c>
      <c r="F10" s="4">
        <v>0.77</v>
      </c>
      <c r="G10" s="4">
        <v>0.85</v>
      </c>
      <c r="H10" s="4">
        <v>0.85</v>
      </c>
      <c r="I10" s="4">
        <v>0.56000000000000005</v>
      </c>
      <c r="J10" s="4">
        <v>0.56000000000000005</v>
      </c>
      <c r="K10" s="4">
        <v>0.56000000000000005</v>
      </c>
      <c r="L10" s="5">
        <f t="shared" si="0"/>
        <v>0.91481600000000007</v>
      </c>
      <c r="M10" s="5">
        <f t="shared" si="1"/>
        <v>6.0477304915445185</v>
      </c>
      <c r="N10" s="5">
        <f t="shared" si="5"/>
        <v>3.8870427750000003</v>
      </c>
      <c r="O10" s="5">
        <f t="shared" si="2"/>
        <v>10</v>
      </c>
      <c r="P10" s="8">
        <f t="shared" si="3"/>
        <v>10</v>
      </c>
      <c r="Q10" s="5" t="str">
        <f t="shared" si="4"/>
        <v>Crítica</v>
      </c>
    </row>
    <row r="11" spans="1:17" ht="27.75" customHeight="1" x14ac:dyDescent="0.3">
      <c r="A11" s="2" t="s">
        <v>38</v>
      </c>
      <c r="B11" s="3" t="s">
        <v>39</v>
      </c>
      <c r="C11" s="3" t="s">
        <v>19</v>
      </c>
      <c r="D11" s="2" t="s">
        <v>20</v>
      </c>
      <c r="E11" s="4">
        <v>0.85</v>
      </c>
      <c r="F11" s="4">
        <v>0.77</v>
      </c>
      <c r="G11" s="4">
        <v>0.85</v>
      </c>
      <c r="H11" s="4">
        <v>0.85</v>
      </c>
      <c r="I11" s="4">
        <v>0.56000000000000005</v>
      </c>
      <c r="J11" s="4">
        <v>0.56000000000000005</v>
      </c>
      <c r="K11" s="4">
        <v>0.56000000000000005</v>
      </c>
      <c r="L11" s="5">
        <f t="shared" si="0"/>
        <v>0.91481600000000007</v>
      </c>
      <c r="M11" s="5">
        <f t="shared" si="1"/>
        <v>5.8731187200000008</v>
      </c>
      <c r="N11" s="5">
        <f t="shared" si="5"/>
        <v>3.8870427750000003</v>
      </c>
      <c r="O11" s="5">
        <f t="shared" si="2"/>
        <v>9.760161495000002</v>
      </c>
      <c r="P11" s="8">
        <f t="shared" si="3"/>
        <v>9.7999999999999989</v>
      </c>
      <c r="Q11" s="5" t="str">
        <f t="shared" si="4"/>
        <v>Crítica</v>
      </c>
    </row>
    <row r="12" spans="1:17" ht="27.75" customHeight="1" x14ac:dyDescent="0.3">
      <c r="A12" s="2" t="s">
        <v>40</v>
      </c>
      <c r="B12" s="3" t="s">
        <v>41</v>
      </c>
      <c r="C12" s="3" t="s">
        <v>19</v>
      </c>
      <c r="D12" s="2" t="s">
        <v>20</v>
      </c>
      <c r="E12" s="4">
        <v>0.85</v>
      </c>
      <c r="F12" s="4">
        <v>0.77</v>
      </c>
      <c r="G12" s="4">
        <v>0.85</v>
      </c>
      <c r="H12" s="4">
        <v>0.85</v>
      </c>
      <c r="I12" s="4">
        <v>0.56000000000000005</v>
      </c>
      <c r="J12" s="4">
        <v>0.56000000000000005</v>
      </c>
      <c r="K12" s="4">
        <v>0.56000000000000005</v>
      </c>
      <c r="L12" s="5">
        <f t="shared" si="0"/>
        <v>0.91481600000000007</v>
      </c>
      <c r="M12" s="5">
        <f t="shared" si="1"/>
        <v>5.8731187200000008</v>
      </c>
      <c r="N12" s="5">
        <f t="shared" si="5"/>
        <v>3.8870427750000003</v>
      </c>
      <c r="O12" s="5">
        <f t="shared" si="2"/>
        <v>9.760161495000002</v>
      </c>
      <c r="P12" s="8">
        <f t="shared" si="3"/>
        <v>9.7999999999999989</v>
      </c>
      <c r="Q12" s="5" t="str">
        <f t="shared" si="4"/>
        <v>Crítica</v>
      </c>
    </row>
    <row r="13" spans="1:17" ht="27.75" customHeight="1" x14ac:dyDescent="0.3">
      <c r="A13" s="2" t="s">
        <v>42</v>
      </c>
      <c r="B13" s="3" t="s">
        <v>43</v>
      </c>
      <c r="C13" s="3" t="s">
        <v>44</v>
      </c>
      <c r="D13" s="2" t="s">
        <v>20</v>
      </c>
      <c r="E13" s="4">
        <v>0.85</v>
      </c>
      <c r="F13" s="4">
        <v>0.77</v>
      </c>
      <c r="G13" s="4">
        <v>0.62</v>
      </c>
      <c r="H13" s="4">
        <v>0.85</v>
      </c>
      <c r="I13" s="4">
        <v>0.56000000000000005</v>
      </c>
      <c r="J13" s="4">
        <v>0.56000000000000005</v>
      </c>
      <c r="K13" s="4">
        <v>0</v>
      </c>
      <c r="L13" s="5">
        <f t="shared" si="0"/>
        <v>0.80640000000000001</v>
      </c>
      <c r="M13" s="5">
        <f t="shared" si="1"/>
        <v>5.1770880000000004</v>
      </c>
      <c r="N13" s="5">
        <f t="shared" si="5"/>
        <v>2.8352547299999999</v>
      </c>
      <c r="O13" s="5">
        <f t="shared" si="2"/>
        <v>8.0123427300000003</v>
      </c>
      <c r="P13" s="8">
        <f t="shared" si="3"/>
        <v>8.1</v>
      </c>
      <c r="Q13" s="5" t="str">
        <f t="shared" si="4"/>
        <v>Alta</v>
      </c>
    </row>
    <row r="14" spans="1:17" ht="27.75" customHeight="1" x14ac:dyDescent="0.3">
      <c r="A14" s="2" t="s">
        <v>45</v>
      </c>
      <c r="B14" s="3" t="s">
        <v>46</v>
      </c>
      <c r="C14" s="3" t="s">
        <v>47</v>
      </c>
      <c r="D14" s="2" t="s">
        <v>20</v>
      </c>
      <c r="E14" s="4">
        <v>0.85</v>
      </c>
      <c r="F14" s="4">
        <v>0.77</v>
      </c>
      <c r="G14" s="4">
        <v>0.85</v>
      </c>
      <c r="H14" s="4">
        <v>0.62</v>
      </c>
      <c r="I14" s="4">
        <v>0.56000000000000005</v>
      </c>
      <c r="J14" s="4">
        <v>0.56000000000000005</v>
      </c>
      <c r="K14" s="4">
        <v>0.56000000000000005</v>
      </c>
      <c r="L14" s="5">
        <f t="shared" si="0"/>
        <v>0.91481600000000007</v>
      </c>
      <c r="M14" s="5">
        <f t="shared" si="1"/>
        <v>5.8731187200000008</v>
      </c>
      <c r="N14" s="5">
        <f t="shared" si="5"/>
        <v>2.8352547300000004</v>
      </c>
      <c r="O14" s="5">
        <f t="shared" si="2"/>
        <v>8.7083734500000016</v>
      </c>
      <c r="P14" s="8">
        <f t="shared" si="3"/>
        <v>8.7999999999999989</v>
      </c>
      <c r="Q14" s="5" t="str">
        <f t="shared" si="4"/>
        <v>Alta</v>
      </c>
    </row>
    <row r="15" spans="1:17" ht="27.75" customHeight="1" x14ac:dyDescent="0.3">
      <c r="A15" s="2" t="s">
        <v>48</v>
      </c>
      <c r="B15" s="3" t="s">
        <v>49</v>
      </c>
      <c r="C15" s="3" t="s">
        <v>50</v>
      </c>
      <c r="D15" s="2" t="s">
        <v>8</v>
      </c>
      <c r="E15" s="4">
        <v>0.2</v>
      </c>
      <c r="F15" s="4">
        <v>0.77</v>
      </c>
      <c r="G15" s="4">
        <v>0.85</v>
      </c>
      <c r="H15" s="4">
        <v>0.85</v>
      </c>
      <c r="I15" s="4">
        <v>0.56000000000000005</v>
      </c>
      <c r="J15" s="4">
        <v>0.56000000000000005</v>
      </c>
      <c r="K15" s="4">
        <v>0.56000000000000005</v>
      </c>
      <c r="L15" s="5">
        <f t="shared" si="0"/>
        <v>0.91481600000000007</v>
      </c>
      <c r="M15" s="5">
        <f t="shared" si="1"/>
        <v>6.0477304915445185</v>
      </c>
      <c r="N15" s="5">
        <f t="shared" si="5"/>
        <v>0.91459829999999998</v>
      </c>
      <c r="O15" s="5">
        <f t="shared" si="2"/>
        <v>7.5193150948680803</v>
      </c>
      <c r="P15" s="8">
        <f t="shared" si="3"/>
        <v>7.6</v>
      </c>
      <c r="Q15" s="5" t="str">
        <f t="shared" si="4"/>
        <v>Alta</v>
      </c>
    </row>
    <row r="16" spans="1:17" ht="27.75" customHeight="1" x14ac:dyDescent="0.3">
      <c r="A16" s="2" t="s">
        <v>51</v>
      </c>
      <c r="B16" s="3" t="s">
        <v>52</v>
      </c>
      <c r="C16" s="3" t="s">
        <v>53</v>
      </c>
      <c r="D16" s="2" t="s">
        <v>8</v>
      </c>
      <c r="E16" s="4">
        <v>0.2</v>
      </c>
      <c r="F16" s="4">
        <v>0.77</v>
      </c>
      <c r="G16" s="4">
        <v>0.85</v>
      </c>
      <c r="H16" s="4">
        <v>0.85</v>
      </c>
      <c r="I16" s="4">
        <v>0</v>
      </c>
      <c r="J16" s="4">
        <v>0.22</v>
      </c>
      <c r="K16" s="4">
        <v>0.56000000000000005</v>
      </c>
      <c r="L16" s="5">
        <f t="shared" si="0"/>
        <v>0.65680000000000005</v>
      </c>
      <c r="M16" s="5">
        <f t="shared" si="1"/>
        <v>4.7173241070114784</v>
      </c>
      <c r="N16" s="5">
        <f t="shared" si="5"/>
        <v>0.91459829999999998</v>
      </c>
      <c r="O16" s="5">
        <f t="shared" si="2"/>
        <v>6.0824761995723966</v>
      </c>
      <c r="P16" s="8">
        <f t="shared" si="3"/>
        <v>6.1</v>
      </c>
      <c r="Q16" s="5" t="str">
        <f t="shared" si="4"/>
        <v>Media</v>
      </c>
    </row>
    <row r="19" spans="1:4" x14ac:dyDescent="0.3">
      <c r="A19" s="6" t="s">
        <v>54</v>
      </c>
    </row>
    <row r="20" spans="1:4" ht="27.6" x14ac:dyDescent="0.3">
      <c r="A20" s="1" t="s">
        <v>55</v>
      </c>
      <c r="B20" s="1" t="s">
        <v>56</v>
      </c>
      <c r="C20" s="1" t="s">
        <v>57</v>
      </c>
      <c r="D20" s="1" t="s">
        <v>58</v>
      </c>
    </row>
    <row r="21" spans="1:4" x14ac:dyDescent="0.3">
      <c r="A21" s="2" t="s">
        <v>4</v>
      </c>
      <c r="B21" s="2" t="s">
        <v>59</v>
      </c>
      <c r="C21" s="3" t="s">
        <v>60</v>
      </c>
      <c r="D21" s="4">
        <v>0.85</v>
      </c>
    </row>
    <row r="22" spans="1:4" x14ac:dyDescent="0.3">
      <c r="A22" s="2" t="s">
        <v>4</v>
      </c>
      <c r="B22" s="2" t="s">
        <v>10</v>
      </c>
      <c r="C22" s="3" t="s">
        <v>61</v>
      </c>
      <c r="D22" s="4">
        <v>0.62</v>
      </c>
    </row>
    <row r="23" spans="1:4" x14ac:dyDescent="0.3">
      <c r="A23" s="2" t="s">
        <v>4</v>
      </c>
      <c r="B23" s="2" t="s">
        <v>62</v>
      </c>
      <c r="C23" s="3" t="s">
        <v>63</v>
      </c>
      <c r="D23" s="4">
        <v>0.55000000000000004</v>
      </c>
    </row>
    <row r="24" spans="1:4" x14ac:dyDescent="0.3">
      <c r="A24" s="2" t="s">
        <v>4</v>
      </c>
      <c r="B24" s="2" t="s">
        <v>64</v>
      </c>
      <c r="C24" s="3" t="s">
        <v>65</v>
      </c>
      <c r="D24" s="4">
        <v>0.2</v>
      </c>
    </row>
    <row r="25" spans="1:4" x14ac:dyDescent="0.3">
      <c r="A25" s="2" t="s">
        <v>5</v>
      </c>
      <c r="B25" s="2" t="s">
        <v>62</v>
      </c>
      <c r="C25" s="3" t="s">
        <v>66</v>
      </c>
      <c r="D25" s="4">
        <v>0.77</v>
      </c>
    </row>
    <row r="26" spans="1:4" x14ac:dyDescent="0.3">
      <c r="A26" s="2" t="s">
        <v>5</v>
      </c>
      <c r="B26" s="2" t="s">
        <v>67</v>
      </c>
      <c r="C26" s="3" t="s">
        <v>68</v>
      </c>
      <c r="D26" s="4">
        <v>0.44</v>
      </c>
    </row>
    <row r="27" spans="1:4" x14ac:dyDescent="0.3">
      <c r="A27" s="2" t="s">
        <v>6</v>
      </c>
      <c r="B27" s="2" t="s">
        <v>59</v>
      </c>
      <c r="C27" s="3" t="s">
        <v>69</v>
      </c>
      <c r="D27" s="4">
        <v>0.85</v>
      </c>
    </row>
    <row r="28" spans="1:4" x14ac:dyDescent="0.3">
      <c r="A28" s="2" t="s">
        <v>6</v>
      </c>
      <c r="B28" s="2" t="s">
        <v>62</v>
      </c>
      <c r="C28" s="3" t="s">
        <v>70</v>
      </c>
      <c r="D28" s="4">
        <v>0.62</v>
      </c>
    </row>
    <row r="29" spans="1:4" x14ac:dyDescent="0.3">
      <c r="A29" s="2" t="s">
        <v>6</v>
      </c>
      <c r="B29" s="2" t="s">
        <v>67</v>
      </c>
      <c r="C29" s="3" t="s">
        <v>71</v>
      </c>
      <c r="D29" s="4">
        <v>0.27</v>
      </c>
    </row>
    <row r="30" spans="1:4" x14ac:dyDescent="0.3">
      <c r="A30" s="2" t="s">
        <v>7</v>
      </c>
      <c r="B30" s="2" t="s">
        <v>59</v>
      </c>
      <c r="C30" s="3" t="s">
        <v>72</v>
      </c>
      <c r="D30" s="4">
        <v>0.85</v>
      </c>
    </row>
    <row r="31" spans="1:4" x14ac:dyDescent="0.3">
      <c r="A31" s="2" t="s">
        <v>7</v>
      </c>
      <c r="B31" s="2" t="s">
        <v>73</v>
      </c>
      <c r="C31" s="3" t="s">
        <v>74</v>
      </c>
      <c r="D31" s="4">
        <v>0.62</v>
      </c>
    </row>
    <row r="32" spans="1:4" x14ac:dyDescent="0.3">
      <c r="A32" s="2" t="s">
        <v>75</v>
      </c>
      <c r="B32" s="2" t="s">
        <v>67</v>
      </c>
      <c r="C32" s="3" t="s">
        <v>76</v>
      </c>
      <c r="D32" s="4">
        <v>0.56000000000000005</v>
      </c>
    </row>
    <row r="33" spans="1:4" x14ac:dyDescent="0.3">
      <c r="A33" s="2" t="s">
        <v>75</v>
      </c>
      <c r="B33" s="2" t="s">
        <v>62</v>
      </c>
      <c r="C33" s="3" t="s">
        <v>77</v>
      </c>
      <c r="D33" s="4">
        <v>0.22</v>
      </c>
    </row>
    <row r="34" spans="1:4" x14ac:dyDescent="0.3">
      <c r="A34" s="2" t="s">
        <v>75</v>
      </c>
      <c r="B34" s="2" t="s">
        <v>59</v>
      </c>
      <c r="C34" s="3" t="s">
        <v>78</v>
      </c>
      <c r="D34" s="2">
        <v>0</v>
      </c>
    </row>
    <row r="35" spans="1:4" ht="41.4" x14ac:dyDescent="0.3">
      <c r="A35" s="2" t="s">
        <v>3</v>
      </c>
      <c r="B35" s="2" t="s">
        <v>79</v>
      </c>
      <c r="C35" s="3" t="s">
        <v>80</v>
      </c>
      <c r="D35" s="2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Helmer Eduardo Moreno Rubio</cp:lastModifiedBy>
  <cp:revision>0</cp:revision>
  <dcterms:created xsi:type="dcterms:W3CDTF">2026-10-17T17:23:27Z</dcterms:created>
  <dcterms:modified xsi:type="dcterms:W3CDTF">2026-10-17T17:29:37Z</dcterms:modified>
  <dc:language>en-US</dc:language>
</cp:coreProperties>
</file>